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suken242310\00_スケジュール\"/>
    </mc:Choice>
  </mc:AlternateContent>
  <xr:revisionPtr revIDLastSave="0" documentId="13_ncr:1_{66DA06B8-7B01-4908-9F8B-04C56669AFFD}" xr6:coauthVersionLast="47" xr6:coauthVersionMax="47" xr10:uidLastSave="{00000000-0000-0000-0000-000000000000}"/>
  <bookViews>
    <workbookView xWindow="7275" yWindow="2295" windowWidth="11745" windowHeight="11535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1" l="1"/>
  <c r="J21" i="1" s="1"/>
  <c r="I22" i="1"/>
  <c r="J22" i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/>
  <c r="I37" i="1"/>
  <c r="J37" i="1" s="1"/>
  <c r="I7" i="1"/>
  <c r="J7" i="1" s="1"/>
  <c r="I8" i="1"/>
  <c r="J8" i="1" s="1"/>
  <c r="I9" i="1"/>
  <c r="J9" i="1" s="1"/>
  <c r="I10" i="1"/>
  <c r="J10" i="1"/>
  <c r="I11" i="1"/>
  <c r="J11" i="1"/>
  <c r="I12" i="1"/>
  <c r="J12" i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<sst xmlns="http://schemas.openxmlformats.org/spreadsheetml/2006/main" count="123" uniqueCount="65">
  <si>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</si>
  <si>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</si>
  <si>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</si>
  <si>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</si>
  <si>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</si>
  <si>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</si>
  <si>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</si>
  <si>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</si>
  <si>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</si>
  <si>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</si>
  <si>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</si>
  <si>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</si>
  <si>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</si>
  <si>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</si>
  <si>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</si>
  <si>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</si>
  <si>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</si>
  <si>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</si>
  <si>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</si>
  <si>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</si>
  <si>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</si>
  <si>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</si>
  <si>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</si>
  <si>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</si>
  <si>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</si>
  <si>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</si>
  <si>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</si>
  <si>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</si>
  <si>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</si>
  <si>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</si>
  <si>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</si>
  <si>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</si>
  <si>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</si>
  <si>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</si>
  <si>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</si>
  <si>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</si>
  <si>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</si>
  <si>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</si>
  <si>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</si>
  <si>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</si>
  <si>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</si>
  <si>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</si>
  <si>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</si>
  <si>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</si>
  <si>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</si>
  <si>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</si>
  <si>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</si>
  <si>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</si>
  <si>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＜ツバッター：ガントチャート＞</t>
    <phoneticPr fontId="2"/>
  </si>
  <si>
    <t>ツバッター</t>
    <phoneticPr fontId="2"/>
  </si>
  <si>
    <t>投稿関連システム</t>
    <rPh sb="0" eb="4">
      <t>トウコウカンレン</t>
    </rPh>
    <phoneticPr fontId="2"/>
  </si>
  <si>
    <t>はばたき（投稿）機能</t>
    <rPh sb="5" eb="7">
      <t>トウコウ</t>
    </rPh>
    <rPh sb="8" eb="10">
      <t>キノウ</t>
    </rPh>
    <phoneticPr fontId="2"/>
  </si>
  <si>
    <t>いいね機能</t>
    <rPh sb="3" eb="5">
      <t>キノウ</t>
    </rPh>
    <phoneticPr fontId="2"/>
  </si>
  <si>
    <t>コメント機能</t>
    <rPh sb="4" eb="6">
      <t>キノウ</t>
    </rPh>
    <phoneticPr fontId="2"/>
  </si>
  <si>
    <t>管理人システム</t>
    <rPh sb="0" eb="3">
      <t>カンリニン</t>
    </rPh>
    <phoneticPr fontId="2"/>
  </si>
  <si>
    <t>凍結機能</t>
    <rPh sb="0" eb="2">
      <t>トウケツ</t>
    </rPh>
    <rPh sb="2" eb="4">
      <t>キノウ</t>
    </rPh>
    <phoneticPr fontId="2"/>
  </si>
  <si>
    <t>投稿削除機能</t>
    <rPh sb="0" eb="4">
      <t>トウコウサクジョ</t>
    </rPh>
    <rPh sb="4" eb="6">
      <t>キノウ</t>
    </rPh>
    <phoneticPr fontId="2"/>
  </si>
  <si>
    <t>アカウント管理システム</t>
    <rPh sb="5" eb="7">
      <t>カンリ</t>
    </rPh>
    <phoneticPr fontId="2"/>
  </si>
  <si>
    <t>アカウント管理機能</t>
    <rPh sb="5" eb="7">
      <t>カンリ</t>
    </rPh>
    <rPh sb="7" eb="9">
      <t>キノウ</t>
    </rPh>
    <phoneticPr fontId="2"/>
  </si>
  <si>
    <t>フォロー機能</t>
    <rPh sb="4" eb="6">
      <t>キノウ</t>
    </rPh>
    <phoneticPr fontId="2"/>
  </si>
  <si>
    <t>その他システム</t>
    <rPh sb="2" eb="3">
      <t>タ</t>
    </rPh>
    <phoneticPr fontId="2"/>
  </si>
  <si>
    <t>トレンド</t>
    <phoneticPr fontId="2"/>
  </si>
  <si>
    <t>タイムライン</t>
    <phoneticPr fontId="2"/>
  </si>
  <si>
    <t>サーチ</t>
    <phoneticPr fontId="2"/>
  </si>
  <si>
    <t>DM機能</t>
    <rPh sb="2" eb="4">
      <t>キノウ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</si>
</sst>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9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704850</xdr:colOff>
          <xdr:row>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6"/>
  <sheetViews>
    <sheetView tabSelected="1" zoomScale="116" workbookViewId="0">
      <pane xSplit="10" ySplit="5" topLeftCell="AC12" activePane="bottomRight" state="frozen"/>
      <selection pane="topRight" activeCell="J1" sqref="J1"/>
      <selection pane="bottomLeft" activeCell="A6" sqref="A6"/>
      <selection pane="bottomRight" activeCell="F14" sqref="F14"/>
    </sheetView>
  </sheetViews>
  <sheetFormatPr defaultRowHeight="18.75" x14ac:dyDescent="0.4"/>
  <cols>
    <col min="1" max="1" width="3.125" customWidth="1"/>
    <col min="2" max="2" width="3.5" bestFit="1" customWidth="1"/>
    <col min="3" max="3" width="32" customWidth="1"/>
    <col min="4" max="4" width="5.25" style="20" hidden="1" customWidth="1"/>
    <col min="5" max="5" width="7.125" style="20" bestFit="1" customWidth="1"/>
    <col min="6" max="6" width="6" bestFit="1" customWidth="1"/>
    <col min="7" max="8" width="11.375" bestFit="1" customWidth="1"/>
    <col min="9" max="9" width="5.25" bestFit="1" customWidth="1"/>
    <col min="10" max="10" width="11.375" bestFit="1" customWidth="1"/>
    <col min="11" max="130" width="3.5" bestFit="1" customWidth="1"/>
  </cols>
  <sheetData>
    <row r="1" spans="1:130" x14ac:dyDescent="0.4">
      <c r="A1" t="s">
        <v>48</v>
      </c>
    </row>
    <row r="2" spans="1:130" ht="7.5" customHeight="1" x14ac:dyDescent="0.4"/>
    <row r="3" spans="1:130" x14ac:dyDescent="0.4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46058.519787847225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">
      <c r="B6" s="6">
        <v>1</v>
      </c>
      <c r="C6" s="13" t="s">
        <v>49</v>
      </c>
      <c r="D6" s="21"/>
      <c r="E6" s="21"/>
      <c r="F6" s="9">
        <v>0.72115384615384615</v>
      </c>
      <c r="G6" s="7">
        <v>45974</v>
      </c>
      <c r="H6" s="7">
        <v>46083</v>
      </c>
      <c r="I6" s="6">
        <f>IF(G6="","",H6-G6+1)</f>
        <v>110</v>
      </c>
      <c r="J6" s="7">
        <f t="shared" ref="J6" si="76">IF(G6="","",G6+((I6*F6)-1))</f>
        <v>46052.326923076922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45974</v>
      </c>
      <c r="H7" s="7">
        <v>45974</v>
      </c>
      <c r="I7" s="6">
        <f t="shared" ref="I7:I54" si="77">IF(G7="","",H7-G7+1)</f>
        <v>1</v>
      </c>
      <c r="J7" s="7">
        <f t="shared" ref="J7:J54" si="78">IF(G7="","",G7+((I7*F7)-1))</f>
        <v>45974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">
      <c r="B8" s="6">
        <v>2</v>
      </c>
      <c r="C8" s="14" t="s">
        <v>30</v>
      </c>
      <c r="D8" s="21"/>
      <c r="E8" s="21"/>
      <c r="F8" s="9">
        <v>1</v>
      </c>
      <c r="G8" s="7">
        <v>45974</v>
      </c>
      <c r="H8" s="7">
        <v>45988</v>
      </c>
      <c r="I8" s="6">
        <f t="shared" si="77"/>
        <v>15</v>
      </c>
      <c r="J8" s="7">
        <f t="shared" si="78"/>
        <v>45988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45974</v>
      </c>
      <c r="H9" s="7">
        <v>45976</v>
      </c>
      <c r="I9" s="6">
        <f t="shared" si="77"/>
        <v>3</v>
      </c>
      <c r="J9" s="7">
        <f t="shared" si="78"/>
        <v>45976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45977</v>
      </c>
      <c r="H10" s="7">
        <v>45981</v>
      </c>
      <c r="I10" s="6">
        <f t="shared" si="77"/>
        <v>5</v>
      </c>
      <c r="J10" s="7">
        <f t="shared" si="78"/>
        <v>45981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45982</v>
      </c>
      <c r="H11" s="7">
        <v>45986</v>
      </c>
      <c r="I11" s="6">
        <f t="shared" si="77"/>
        <v>5</v>
      </c>
      <c r="J11" s="7">
        <f t="shared" si="78"/>
        <v>45986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45987</v>
      </c>
      <c r="H12" s="7">
        <v>45988</v>
      </c>
      <c r="I12" s="6">
        <f t="shared" si="77"/>
        <v>2</v>
      </c>
      <c r="J12" s="7">
        <f t="shared" si="78"/>
        <v>45988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">
      <c r="B13" s="6">
        <v>2</v>
      </c>
      <c r="C13" s="14" t="s">
        <v>32</v>
      </c>
      <c r="D13" s="21"/>
      <c r="E13" s="21"/>
      <c r="F13" s="9">
        <v>0.8</v>
      </c>
      <c r="G13" s="7">
        <v>45989</v>
      </c>
      <c r="H13" s="7">
        <v>46062</v>
      </c>
      <c r="I13" s="6">
        <f t="shared" si="77"/>
        <v>74</v>
      </c>
      <c r="J13" s="7">
        <f t="shared" si="78"/>
        <v>46047.199999999997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">
      <c r="B14" s="6">
        <v>3</v>
      </c>
      <c r="C14" s="15" t="s">
        <v>50</v>
      </c>
      <c r="D14" s="21"/>
      <c r="E14" s="21"/>
      <c r="F14" s="9">
        <v>1</v>
      </c>
      <c r="G14" s="7">
        <v>45989</v>
      </c>
      <c r="H14" s="7">
        <v>46008</v>
      </c>
      <c r="I14" s="6">
        <f t="shared" si="77"/>
        <v>20</v>
      </c>
      <c r="J14" s="7">
        <f t="shared" si="78"/>
        <v>46008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">
      <c r="B15" s="6">
        <v>4</v>
      </c>
      <c r="C15" s="16" t="s">
        <v>51</v>
      </c>
      <c r="D15" s="21"/>
      <c r="E15" s="21" t="s">
        <v>25</v>
      </c>
      <c r="F15" s="9">
        <v>1</v>
      </c>
      <c r="G15" s="7">
        <v>45989</v>
      </c>
      <c r="H15" s="7">
        <v>45994</v>
      </c>
      <c r="I15" s="6">
        <f t="shared" si="77"/>
        <v>6</v>
      </c>
      <c r="J15" s="7">
        <f t="shared" si="78"/>
        <v>45994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45995</v>
      </c>
      <c r="H16" s="7">
        <v>46000</v>
      </c>
      <c r="I16" s="6">
        <f t="shared" si="77"/>
        <v>6</v>
      </c>
      <c r="J16" s="7">
        <f t="shared" si="78"/>
        <v>46000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">
      <c r="B17" s="6">
        <v>4</v>
      </c>
      <c r="C17" s="16" t="s">
        <v>53</v>
      </c>
      <c r="D17" s="21"/>
      <c r="E17" s="21" t="s">
        <v>25</v>
      </c>
      <c r="F17" s="9">
        <v>1</v>
      </c>
      <c r="G17" s="7">
        <v>46001</v>
      </c>
      <c r="H17" s="7">
        <v>46008</v>
      </c>
      <c r="I17" s="6">
        <f t="shared" si="77"/>
        <v>8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">
      <c r="B18" s="6">
        <v>3</v>
      </c>
      <c r="C18" s="15" t="s">
        <v>54</v>
      </c>
      <c r="D18" s="21"/>
      <c r="E18" s="21"/>
      <c r="F18" s="9">
        <v>1</v>
      </c>
      <c r="G18" s="7">
        <v>46009</v>
      </c>
      <c r="H18" s="7">
        <v>46018</v>
      </c>
      <c r="I18" s="6">
        <f t="shared" si="77"/>
        <v>10</v>
      </c>
      <c r="J18" s="7">
        <f t="shared" si="78"/>
        <v>46018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">
      <c r="B19" s="6">
        <v>4</v>
      </c>
      <c r="C19" s="16" t="s">
        <v>55</v>
      </c>
      <c r="D19" s="21"/>
      <c r="E19" s="21" t="s">
        <v>25</v>
      </c>
      <c r="F19" s="9">
        <v>1</v>
      </c>
      <c r="G19" s="7">
        <v>46009</v>
      </c>
      <c r="H19" s="7">
        <v>46013</v>
      </c>
      <c r="I19" s="6">
        <f t="shared" si="77"/>
        <v>5</v>
      </c>
      <c r="J19" s="7">
        <f t="shared" si="78"/>
        <v>46013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">
      <c r="B20" s="6">
        <v>4</v>
      </c>
      <c r="C20" s="16" t="s">
        <v>56</v>
      </c>
      <c r="D20" s="21"/>
      <c r="E20" s="21" t="s">
        <v>25</v>
      </c>
      <c r="F20" s="9">
        <v>1</v>
      </c>
      <c r="G20" s="7">
        <v>46014</v>
      </c>
      <c r="H20" s="7">
        <v>46018</v>
      </c>
      <c r="I20" s="6">
        <f t="shared" si="77"/>
        <v>5</v>
      </c>
      <c r="J20" s="7">
        <f t="shared" si="78"/>
        <v>46018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">
      <c r="B21" s="6">
        <v>3</v>
      </c>
      <c r="C21" s="15" t="s">
        <v>57</v>
      </c>
      <c r="D21" s="21"/>
      <c r="E21" s="21"/>
      <c r="F21" s="9">
        <v>0.75</v>
      </c>
      <c r="G21" s="7">
        <v>46019</v>
      </c>
      <c r="H21" s="7">
        <v>46038</v>
      </c>
      <c r="I21" s="6">
        <f t="shared" ref="I21:I37" si="79">IF(G21="","",H21-G21+1)</f>
        <v>20</v>
      </c>
      <c r="J21" s="7">
        <f t="shared" ref="J21:J37" si="80">IF(G21="","",G21+((I21*F21)-1))</f>
        <v>46033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">
      <c r="B22" s="6">
        <v>4</v>
      </c>
      <c r="C22" s="16" t="s">
        <v>58</v>
      </c>
      <c r="D22" s="21"/>
      <c r="E22" s="21" t="s">
        <v>25</v>
      </c>
      <c r="F22" s="9">
        <v>1</v>
      </c>
      <c r="G22" s="7">
        <v>46019</v>
      </c>
      <c r="H22" s="7">
        <v>46028</v>
      </c>
      <c r="I22" s="6">
        <f t="shared" si="79"/>
        <v>10</v>
      </c>
      <c r="J22" s="7">
        <f t="shared" si="80"/>
        <v>46028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">
      <c r="B23" s="6">
        <v>4</v>
      </c>
      <c r="C23" s="16" t="s">
        <v>59</v>
      </c>
      <c r="D23" s="21"/>
      <c r="E23" s="21" t="s">
        <v>25</v>
      </c>
      <c r="F23" s="9">
        <v>1</v>
      </c>
      <c r="G23" s="7">
        <v>46029</v>
      </c>
      <c r="H23" s="7">
        <v>46033</v>
      </c>
      <c r="I23" s="6">
        <f t="shared" si="79"/>
        <v>5</v>
      </c>
      <c r="J23" s="7">
        <f t="shared" si="80"/>
        <v>46033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">
      <c r="B24" s="6">
        <v>4</v>
      </c>
      <c r="C24" s="16" t="s">
        <v>64</v>
      </c>
      <c r="D24" s="21"/>
      <c r="E24" s="21" t="s">
        <v>25</v>
      </c>
      <c r="F24" s="9">
        <v>1</v>
      </c>
      <c r="G24" s="7">
        <v>46034</v>
      </c>
      <c r="H24" s="7">
        <v>46038</v>
      </c>
      <c r="I24" s="6">
        <f t="shared" si="79"/>
        <v>5</v>
      </c>
      <c r="J24" s="7">
        <f t="shared" si="80"/>
        <v>46038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">
      <c r="B25" s="6">
        <v>3</v>
      </c>
      <c r="C25" s="15" t="s">
        <v>60</v>
      </c>
      <c r="D25" s="21"/>
      <c r="E25" s="21"/>
      <c r="F25" s="9">
        <v>0.75</v>
      </c>
      <c r="G25" s="7">
        <v>46039</v>
      </c>
      <c r="H25" s="7">
        <v>46058</v>
      </c>
      <c r="I25" s="6">
        <f t="shared" si="79"/>
        <v>20</v>
      </c>
      <c r="J25" s="7">
        <f t="shared" si="80"/>
        <v>46053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">
      <c r="B26" s="6">
        <v>4</v>
      </c>
      <c r="C26" s="16" t="s">
        <v>61</v>
      </c>
      <c r="D26" s="21"/>
      <c r="E26" s="21" t="s">
        <v>23</v>
      </c>
      <c r="F26" s="9">
        <v>0</v>
      </c>
      <c r="G26" s="7">
        <v>46039</v>
      </c>
      <c r="H26" s="7">
        <v>46043</v>
      </c>
      <c r="I26" s="6">
        <f t="shared" si="79"/>
        <v>5</v>
      </c>
      <c r="J26" s="7">
        <f t="shared" si="80"/>
        <v>46038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">
      <c r="B27" s="6">
        <v>4</v>
      </c>
      <c r="C27" s="16" t="s">
        <v>62</v>
      </c>
      <c r="D27" s="21"/>
      <c r="E27" s="21" t="s">
        <v>25</v>
      </c>
      <c r="F27" s="9">
        <v>1</v>
      </c>
      <c r="G27" s="7">
        <v>46044</v>
      </c>
      <c r="H27" s="7">
        <v>46053</v>
      </c>
      <c r="I27" s="6">
        <f t="shared" si="79"/>
        <v>10</v>
      </c>
      <c r="J27" s="7">
        <f t="shared" si="80"/>
        <v>46053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">
      <c r="B28" s="6">
        <v>4</v>
      </c>
      <c r="C28" s="16" t="s">
        <v>63</v>
      </c>
      <c r="D28" s="21"/>
      <c r="E28" s="21" t="s">
        <v>25</v>
      </c>
      <c r="F28" s="9">
        <v>1</v>
      </c>
      <c r="G28" s="7">
        <v>46054</v>
      </c>
      <c r="H28" s="7">
        <v>46058</v>
      </c>
      <c r="I28" s="6">
        <f t="shared" si="79"/>
        <v>5</v>
      </c>
      <c r="J28" s="7">
        <f t="shared" si="80"/>
        <v>46058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">
      <c r="B29" s="6">
        <v>3</v>
      </c>
      <c r="C29" s="15" t="s">
        <v>36</v>
      </c>
      <c r="D29" s="21"/>
      <c r="E29" s="21" t="s">
        <v>23</v>
      </c>
      <c r="F29" s="9">
        <v>0</v>
      </c>
      <c r="G29" s="7">
        <v>46058</v>
      </c>
      <c r="H29" s="7">
        <v>46062</v>
      </c>
      <c r="I29" s="6">
        <f t="shared" si="79"/>
        <v>5</v>
      </c>
      <c r="J29" s="7">
        <f t="shared" si="80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">
      <c r="B30" s="6">
        <v>2</v>
      </c>
      <c r="C30" s="14" t="s">
        <v>37</v>
      </c>
      <c r="D30" s="21"/>
      <c r="E30" s="21"/>
      <c r="F30" s="9">
        <v>0</v>
      </c>
      <c r="G30" s="7">
        <v>46063</v>
      </c>
      <c r="H30" s="7">
        <v>46070</v>
      </c>
      <c r="I30" s="6">
        <f t="shared" si="79"/>
        <v>8</v>
      </c>
      <c r="J30" s="7">
        <f t="shared" si="80"/>
        <v>46062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">
      <c r="B31" s="6">
        <v>3</v>
      </c>
      <c r="C31" s="15" t="s">
        <v>38</v>
      </c>
      <c r="D31" s="21"/>
      <c r="E31" s="21" t="s">
        <v>23</v>
      </c>
      <c r="F31" s="9">
        <v>0</v>
      </c>
      <c r="G31" s="7">
        <v>46063</v>
      </c>
      <c r="H31" s="7">
        <v>46069</v>
      </c>
      <c r="I31" s="6">
        <f t="shared" si="79"/>
        <v>7</v>
      </c>
      <c r="J31" s="7">
        <f t="shared" si="80"/>
        <v>46062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">
      <c r="B32" s="6">
        <v>3</v>
      </c>
      <c r="C32" s="15" t="s">
        <v>39</v>
      </c>
      <c r="D32" s="21"/>
      <c r="E32" s="21" t="s">
        <v>23</v>
      </c>
      <c r="F32" s="9">
        <v>0</v>
      </c>
      <c r="G32" s="7">
        <v>46063</v>
      </c>
      <c r="H32" s="7">
        <v>46069</v>
      </c>
      <c r="I32" s="6">
        <f t="shared" si="79"/>
        <v>7</v>
      </c>
      <c r="J32" s="7">
        <f t="shared" si="80"/>
        <v>46062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">
      <c r="B33" s="6">
        <v>3</v>
      </c>
      <c r="C33" s="15" t="s">
        <v>47</v>
      </c>
      <c r="D33" s="21"/>
      <c r="E33" s="21" t="s">
        <v>23</v>
      </c>
      <c r="F33" s="9">
        <v>0</v>
      </c>
      <c r="G33" s="7">
        <v>46070</v>
      </c>
      <c r="H33" s="7">
        <v>46070</v>
      </c>
      <c r="I33" s="6">
        <f t="shared" si="79"/>
        <v>1</v>
      </c>
      <c r="J33" s="7">
        <f t="shared" si="80"/>
        <v>46069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">
      <c r="B34" s="6">
        <v>2</v>
      </c>
      <c r="C34" s="14" t="s">
        <v>40</v>
      </c>
      <c r="D34" s="21"/>
      <c r="E34" s="21"/>
      <c r="F34" s="9">
        <v>0</v>
      </c>
      <c r="G34" s="7">
        <v>46078</v>
      </c>
      <c r="H34" s="7">
        <v>46083</v>
      </c>
      <c r="I34" s="6">
        <f t="shared" si="79"/>
        <v>6</v>
      </c>
      <c r="J34" s="7">
        <f t="shared" si="80"/>
        <v>46077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">
      <c r="B35" s="6">
        <v>3</v>
      </c>
      <c r="C35" s="15" t="s">
        <v>41</v>
      </c>
      <c r="D35" s="21"/>
      <c r="E35" s="21" t="s">
        <v>23</v>
      </c>
      <c r="F35" s="9">
        <v>0</v>
      </c>
      <c r="G35" s="7">
        <v>46078</v>
      </c>
      <c r="H35" s="7">
        <v>46080</v>
      </c>
      <c r="I35" s="6">
        <f t="shared" si="79"/>
        <v>3</v>
      </c>
      <c r="J35" s="7">
        <f t="shared" si="80"/>
        <v>46077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">
      <c r="B36" s="6">
        <v>3</v>
      </c>
      <c r="C36" s="15" t="s">
        <v>43</v>
      </c>
      <c r="D36" s="21"/>
      <c r="E36" s="21" t="s">
        <v>23</v>
      </c>
      <c r="F36" s="9">
        <v>0</v>
      </c>
      <c r="G36" s="7">
        <v>46081</v>
      </c>
      <c r="H36" s="7">
        <v>46082</v>
      </c>
      <c r="I36" s="6">
        <f t="shared" si="79"/>
        <v>2</v>
      </c>
      <c r="J36" s="7">
        <f t="shared" si="80"/>
        <v>46080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">
      <c r="B37" s="6">
        <v>3</v>
      </c>
      <c r="C37" s="15" t="s">
        <v>42</v>
      </c>
      <c r="D37" s="21"/>
      <c r="E37" s="21" t="s">
        <v>23</v>
      </c>
      <c r="F37" s="9">
        <v>0</v>
      </c>
      <c r="G37" s="7">
        <v>46083</v>
      </c>
      <c r="H37" s="7">
        <v>46083</v>
      </c>
      <c r="I37" s="6">
        <f t="shared" si="79"/>
        <v>1</v>
      </c>
      <c r="J37" s="7">
        <f t="shared" si="80"/>
        <v>46082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">
      <c r="B38" s="6"/>
      <c r="C38" s="19"/>
      <c r="D38" s="21"/>
      <c r="E38" s="21"/>
      <c r="F38" s="9"/>
      <c r="G38" s="7"/>
      <c r="H38" s="7"/>
      <c r="I38" s="6" t="str">
        <f t="shared" si="77"/>
        <v/>
      </c>
      <c r="J38" s="7" t="str">
        <f t="shared" si="78"/>
        <v/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">
      <c r="B39" s="6"/>
      <c r="C39" s="19"/>
      <c r="D39" s="21"/>
      <c r="E39" s="21"/>
      <c r="F39" s="9"/>
      <c r="G39" s="7"/>
      <c r="H39" s="7"/>
      <c r="I39" s="6" t="str">
        <f t="shared" si="77"/>
        <v/>
      </c>
      <c r="J39" s="7" t="str">
        <f t="shared" si="78"/>
        <v/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">
      <c r="B40" s="6"/>
      <c r="C40" s="19"/>
      <c r="D40" s="21"/>
      <c r="E40" s="21"/>
      <c r="F40" s="9"/>
      <c r="G40" s="7"/>
      <c r="H40" s="7"/>
      <c r="I40" s="6" t="str">
        <f t="shared" si="77"/>
        <v/>
      </c>
      <c r="J40" s="7" t="str">
        <f t="shared" si="78"/>
        <v/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">
      <c r="B41" s="6"/>
      <c r="C41" s="19"/>
      <c r="D41" s="21"/>
      <c r="E41" s="21"/>
      <c r="F41" s="9"/>
      <c r="G41" s="7"/>
      <c r="H41" s="7"/>
      <c r="I41" s="6" t="str">
        <f t="shared" si="77"/>
        <v/>
      </c>
      <c r="J41" s="7" t="str">
        <f t="shared" si="78"/>
        <v/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">
      <c r="B42" s="6"/>
      <c r="C42" s="17"/>
      <c r="D42" s="21"/>
      <c r="E42" s="21"/>
      <c r="F42" s="9"/>
      <c r="G42" s="7"/>
      <c r="H42" s="7"/>
      <c r="I42" s="6" t="str">
        <f t="shared" si="77"/>
        <v/>
      </c>
      <c r="J42" s="7" t="str">
        <f t="shared" si="78"/>
        <v/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">
      <c r="B43" s="6"/>
      <c r="C43" s="17"/>
      <c r="D43" s="21"/>
      <c r="E43" s="21"/>
      <c r="F43" s="9"/>
      <c r="G43" s="7"/>
      <c r="H43" s="7"/>
      <c r="I43" s="6" t="str">
        <f t="shared" si="77"/>
        <v/>
      </c>
      <c r="J43" s="7" t="str">
        <f t="shared" si="7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">
      <c r="B44" s="6"/>
      <c r="C44" s="17"/>
      <c r="D44" s="21"/>
      <c r="E44" s="21"/>
      <c r="F44" s="9"/>
      <c r="G44" s="7"/>
      <c r="H44" s="7"/>
      <c r="I44" s="6" t="str">
        <f t="shared" si="77"/>
        <v/>
      </c>
      <c r="J44" s="7" t="str">
        <f t="shared" si="78"/>
        <v/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">
      <c r="B45" s="6"/>
      <c r="C45" s="17"/>
      <c r="D45" s="21"/>
      <c r="E45" s="21"/>
      <c r="F45" s="9"/>
      <c r="G45" s="7"/>
      <c r="H45" s="7"/>
      <c r="I45" s="6" t="str">
        <f t="shared" si="77"/>
        <v/>
      </c>
      <c r="J45" s="7" t="str">
        <f t="shared" si="78"/>
        <v/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">
      <c r="B46" s="6"/>
      <c r="C46" s="17"/>
      <c r="D46" s="21"/>
      <c r="E46" s="21"/>
      <c r="F46" s="9"/>
      <c r="G46" s="7"/>
      <c r="H46" s="7"/>
      <c r="I46" s="6" t="str">
        <f t="shared" si="77"/>
        <v/>
      </c>
      <c r="J46" s="7" t="str">
        <f t="shared" si="78"/>
        <v/>
      </c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">
      <c r="B47" s="6"/>
      <c r="C47" s="17"/>
      <c r="D47" s="21"/>
      <c r="E47" s="21"/>
      <c r="F47" s="9"/>
      <c r="G47" s="7"/>
      <c r="H47" s="7"/>
      <c r="I47" s="6" t="str">
        <f t="shared" si="77"/>
        <v/>
      </c>
      <c r="J47" s="7" t="str">
        <f t="shared" si="78"/>
        <v/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">
      <c r="B48" s="6"/>
      <c r="C48" s="17"/>
      <c r="D48" s="21"/>
      <c r="E48" s="21"/>
      <c r="F48" s="9"/>
      <c r="G48" s="7"/>
      <c r="H48" s="7"/>
      <c r="I48" s="6" t="str">
        <f t="shared" si="77"/>
        <v/>
      </c>
      <c r="J48" s="7" t="str">
        <f t="shared" si="78"/>
        <v/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">
      <c r="B49" s="6"/>
      <c r="C49" s="17"/>
      <c r="D49" s="21"/>
      <c r="E49" s="21"/>
      <c r="F49" s="9"/>
      <c r="G49" s="7"/>
      <c r="H49" s="7"/>
      <c r="I49" s="6" t="str">
        <f t="shared" si="77"/>
        <v/>
      </c>
      <c r="J49" s="7" t="str">
        <f t="shared" si="78"/>
        <v/>
      </c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">
      <c r="B50" s="6"/>
      <c r="C50" s="17"/>
      <c r="D50" s="21"/>
      <c r="E50" s="21"/>
      <c r="F50" s="9"/>
      <c r="G50" s="7"/>
      <c r="H50" s="7"/>
      <c r="I50" s="6" t="str">
        <f t="shared" si="77"/>
        <v/>
      </c>
      <c r="J50" s="7" t="str">
        <f t="shared" si="78"/>
        <v/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">
      <c r="B51" s="6"/>
      <c r="C51" s="17"/>
      <c r="D51" s="21"/>
      <c r="E51" s="21"/>
      <c r="F51" s="9"/>
      <c r="G51" s="7"/>
      <c r="H51" s="7"/>
      <c r="I51" s="6" t="str">
        <f t="shared" si="77"/>
        <v/>
      </c>
      <c r="J51" s="7" t="str">
        <f t="shared" si="78"/>
        <v/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">
      <c r="B52" s="6"/>
      <c r="C52" s="17"/>
      <c r="D52" s="21"/>
      <c r="E52" s="21"/>
      <c r="F52" s="9"/>
      <c r="G52" s="7"/>
      <c r="H52" s="7"/>
      <c r="I52" s="6" t="str">
        <f t="shared" si="77"/>
        <v/>
      </c>
      <c r="J52" s="7" t="str">
        <f t="shared" si="78"/>
        <v/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">
      <c r="B53" s="6"/>
      <c r="C53" s="17"/>
      <c r="D53" s="21"/>
      <c r="E53" s="21"/>
      <c r="F53" s="9"/>
      <c r="G53" s="7"/>
      <c r="H53" s="7"/>
      <c r="I53" s="6" t="str">
        <f t="shared" si="77"/>
        <v/>
      </c>
      <c r="J53" s="7" t="str">
        <f t="shared" si="78"/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">
      <c r="C55" s="18"/>
    </row>
    <row r="56" spans="2:130" x14ac:dyDescent="0.4">
      <c r="C56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8" priority="10">
      <formula>L3=""</formula>
    </cfRule>
  </conditionalFormatting>
  <conditionalFormatting sqref="K4:DZ54">
    <cfRule type="expression" dxfId="7" priority="8">
      <formula>WEEKDAY(K$4)=7</formula>
    </cfRule>
    <cfRule type="expression" dxfId="6" priority="9">
      <formula>WEEKDAY(K$4)=1</formula>
    </cfRule>
  </conditionalFormatting>
  <conditionalFormatting sqref="K6:DZ54">
    <cfRule type="expression" dxfId="5" priority="1">
      <formula>AND($G6&lt;&gt;"",$G6&lt;=K$4,$H6&gt;=K$4,$H$3&lt;K$4,$J6&gt;=K$4)</formula>
    </cfRule>
    <cfRule type="expression" dxfId="4" priority="2">
      <formula>AND($G6&lt;&gt;"",$G6&lt;=K$4,$H6&gt;=K$4,$J6&lt;K$4,$H$3&gt;=K$4)</formula>
    </cfRule>
    <cfRule type="expression" dxfId="3" priority="3">
      <formula>AND($G6&lt;&gt;"",$G6&lt;=K$4,$J6&gt;=K$4)</formula>
    </cfRule>
    <cfRule type="expression" dxfId="2" priority="4">
      <formula>AND($G6&lt;=K$4,$H6&gt;=K$4)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704850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8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topLeftCell="A10" workbookViewId="0">
      <selection activeCell="I19" sqref="I19"/>
    </sheetView>
  </sheetViews>
  <sheetFormatPr defaultRowHeight="18.75" x14ac:dyDescent="0.4"/>
  <cols>
    <col min="2" max="2" width="19.125" bestFit="1" customWidth="1"/>
    <col min="3" max="3" width="11.375" bestFit="1" customWidth="1"/>
    <col min="5" max="5" width="13" bestFit="1" customWidth="1"/>
    <col min="6" max="6" width="11.375" bestFit="1" customWidth="1"/>
    <col min="9" max="9" width="11.375" bestFit="1" customWidth="1"/>
  </cols>
  <sheetData>
    <row r="2" spans="2:11" x14ac:dyDescent="0.4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">
      <c r="E7" t="s">
        <v>9</v>
      </c>
      <c r="F7" s="1">
        <v>46023</v>
      </c>
      <c r="H7" t="s">
        <v>19</v>
      </c>
      <c r="I7" s="1">
        <v>46019</v>
      </c>
    </row>
    <row r="8" spans="2:11" x14ac:dyDescent="0.4">
      <c r="E8" t="s">
        <v>10</v>
      </c>
      <c r="F8" s="1">
        <v>46034</v>
      </c>
      <c r="H8" t="s">
        <v>19</v>
      </c>
      <c r="I8" s="1">
        <v>46020</v>
      </c>
    </row>
    <row r="9" spans="2:11" x14ac:dyDescent="0.4">
      <c r="E9" t="s">
        <v>11</v>
      </c>
      <c r="F9" s="1">
        <v>46064</v>
      </c>
      <c r="H9" t="s">
        <v>19</v>
      </c>
      <c r="I9" s="1">
        <v>46021</v>
      </c>
    </row>
    <row r="10" spans="2:11" x14ac:dyDescent="0.4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">
      <c r="H13" t="s">
        <v>19</v>
      </c>
      <c r="I13" s="1">
        <v>46025</v>
      </c>
    </row>
    <row r="14" spans="2:11" x14ac:dyDescent="0.4">
      <c r="H14" t="s">
        <v>19</v>
      </c>
      <c r="I14" s="1">
        <v>46026</v>
      </c>
    </row>
    <row r="15" spans="2:11" x14ac:dyDescent="0.4">
      <c r="H15" t="s">
        <v>19</v>
      </c>
      <c r="I15" s="1">
        <v>46027</v>
      </c>
    </row>
    <row r="16" spans="2:11" x14ac:dyDescent="0.4">
      <c r="H16" t="s">
        <v>19</v>
      </c>
      <c r="I16" s="1">
        <v>46028</v>
      </c>
    </row>
    <row r="17" spans="8:9" x14ac:dyDescent="0.4">
      <c r="H17" t="s">
        <v>19</v>
      </c>
      <c r="I17" s="1">
        <v>46029</v>
      </c>
    </row>
    <row r="18" spans="8:9" x14ac:dyDescent="0.4">
      <c r="H18" t="s">
        <v>19</v>
      </c>
      <c r="I18" s="1">
        <v>46030</v>
      </c>
    </row>
    <row r="19" spans="8:9" x14ac:dyDescent="0.4">
      <c r="H19" t="s">
        <v>29</v>
      </c>
      <c r="I19" s="1">
        <v>46072</v>
      </c>
    </row>
    <row r="20" spans="8:9" x14ac:dyDescent="0.4">
      <c r="H20" t="s">
        <v>29</v>
      </c>
      <c r="I20" s="1">
        <v>46073</v>
      </c>
    </row>
    <row r="21" spans="8:9" x14ac:dyDescent="0.4">
      <c r="H21" t="s">
        <v>29</v>
      </c>
      <c r="I21" s="1">
        <v>46074</v>
      </c>
    </row>
    <row r="22" spans="8:9" x14ac:dyDescent="0.4">
      <c r="H22" t="s">
        <v>29</v>
      </c>
      <c r="I22" s="1">
        <v>46075</v>
      </c>
    </row>
    <row r="23" spans="8:9" x14ac:dyDescent="0.4">
      <c r="H23" t="s">
        <v>29</v>
      </c>
      <c r="I23" s="1">
        <v>46076</v>
      </c>
    </row>
    <row r="24" spans="8:9" x14ac:dyDescent="0.4">
      <c r="H24" t="s">
        <v>29</v>
      </c>
      <c r="I24" s="1">
        <v>46077</v>
      </c>
    </row>
    <row r="25" spans="8:9" x14ac:dyDescent="0.4">
      <c r="H25" t="s">
        <v>29</v>
      </c>
      <c r="I25" s="1">
        <v>46078</v>
      </c>
    </row>
    <row r="26" spans="8:9" x14ac:dyDescent="0.4">
      <c r="H26" t="s">
        <v>29</v>
      </c>
      <c r="I26" s="1">
        <v>46079</v>
      </c>
    </row>
    <row r="27" spans="8:9" x14ac:dyDescent="0.4">
      <c r="H27" t="s">
        <v>29</v>
      </c>
      <c r="I27" s="1">
        <v>46080</v>
      </c>
    </row>
    <row r="28" spans="8:9" x14ac:dyDescent="0.4">
      <c r="H28" t="s">
        <v>29</v>
      </c>
      <c r="I28" s="1">
        <v>46081</v>
      </c>
    </row>
    <row r="29" spans="8:9" x14ac:dyDescent="0.4">
      <c r="H29" t="s">
        <v>29</v>
      </c>
      <c r="I29" s="1">
        <v>46082</v>
      </c>
    </row>
    <row r="30" spans="8:9" x14ac:dyDescent="0.4">
      <c r="H30" t="s">
        <v>29</v>
      </c>
      <c r="I30" s="1">
        <v>46083</v>
      </c>
    </row>
    <row r="31" spans="8:9" x14ac:dyDescent="0.4">
      <c r="H31" t="s">
        <v>29</v>
      </c>
      <c r="I31" s="1">
        <v>46084</v>
      </c>
    </row>
    <row r="32" spans="8:9" x14ac:dyDescent="0.4">
      <c r="H32" t="s">
        <v>29</v>
      </c>
      <c r="I32" s="1">
        <v>46085</v>
      </c>
    </row>
    <row r="33" spans="8:9" x14ac:dyDescent="0.4">
      <c r="H33" t="s">
        <v>29</v>
      </c>
      <c r="I33" s="1">
        <v>46086</v>
      </c>
    </row>
    <row r="34" spans="8:9" x14ac:dyDescent="0.4">
      <c r="H34" t="s">
        <v>29</v>
      </c>
      <c r="I34" s="1">
        <v>46087</v>
      </c>
    </row>
    <row r="35" spans="8:9" x14ac:dyDescent="0.4">
      <c r="H35" t="s">
        <v>29</v>
      </c>
      <c r="I35" s="1">
        <v>46088</v>
      </c>
    </row>
    <row r="36" spans="8:9" x14ac:dyDescent="0.4">
      <c r="H36" t="s">
        <v>29</v>
      </c>
      <c r="I36" s="1">
        <v>46089</v>
      </c>
    </row>
    <row r="37" spans="8:9" x14ac:dyDescent="0.4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HDC242310</cp:lastModifiedBy>
  <dcterms:created xsi:type="dcterms:W3CDTF">2024-10-16T04:37:27Z</dcterms:created>
  <dcterms:modified xsi:type="dcterms:W3CDTF">2026-02-05T03:29:20Z</dcterms:modified>
</cp:coreProperties>
</file>